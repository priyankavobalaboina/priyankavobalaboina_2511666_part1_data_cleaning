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balap\Desktop\CAPSTONE PROJECT\"/>
    </mc:Choice>
  </mc:AlternateContent>
  <xr:revisionPtr revIDLastSave="0" documentId="8_{79A413A2-0EFA-4D3D-B4F0-0049511A2B13}" xr6:coauthVersionLast="47" xr6:coauthVersionMax="47" xr10:uidLastSave="{00000000-0000-0000-0000-000000000000}"/>
  <bookViews>
    <workbookView xWindow="-104" yWindow="-104" windowWidth="22326" windowHeight="13329" activeTab="6" xr2:uid="{00000000-000D-0000-FFFF-FFFF00000000}"/>
  </bookViews>
  <sheets>
    <sheet name="Missing_Values" sheetId="1" r:id="rId1"/>
    <sheet name="Duplicates" sheetId="2" r:id="rId2"/>
    <sheet name="Invalid_Discounts" sheetId="3" r:id="rId3"/>
    <sheet name="Date_Issues" sheetId="4" r:id="rId4"/>
    <sheet name="Order_Status_Issues" sheetId="5" r:id="rId5"/>
    <sheet name="Sales_profit calculation mismat" sheetId="6" r:id="rId6"/>
    <sheet name="Final clean vs flagged record 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6" l="1"/>
  <c r="B11" i="1"/>
</calcChain>
</file>

<file path=xl/sharedStrings.xml><?xml version="1.0" encoding="utf-8"?>
<sst xmlns="http://schemas.openxmlformats.org/spreadsheetml/2006/main" count="309" uniqueCount="192">
  <si>
    <t>Missing Values Summary</t>
  </si>
  <si>
    <t/>
  </si>
  <si>
    <t>Field</t>
  </si>
  <si>
    <t>Missing Count</t>
  </si>
  <si>
    <t>Action Taken</t>
  </si>
  <si>
    <t>Notes</t>
  </si>
  <si>
    <t>region</t>
  </si>
  <si>
    <t>Filled as "Unknown"</t>
  </si>
  <si>
    <t>Flagged in data_quality_flag column</t>
  </si>
  <si>
    <t>ship_mode</t>
  </si>
  <si>
    <t>discount</t>
  </si>
  <si>
    <t>Treated as 0</t>
  </si>
  <si>
    <t>Only if other sales fields (quantity, unit_price) are valid</t>
  </si>
  <si>
    <t>order_date</t>
  </si>
  <si>
    <t>Flagged as Invalid</t>
  </si>
  <si>
    <t>Could not parse or missing entirely</t>
  </si>
  <si>
    <t>ship_date</t>
  </si>
  <si>
    <t>shipping_delay_days set to blank</t>
  </si>
  <si>
    <t>customer_name</t>
  </si>
  <si>
    <t>Filled as "Unknown Customer"</t>
  </si>
  <si>
    <t>Flagged for review</t>
  </si>
  <si>
    <t>payment_status</t>
  </si>
  <si>
    <t>Excluded from completed sales summary</t>
  </si>
  <si>
    <t>TOTAL</t>
  </si>
  <si>
    <t>Action Note: Missing regions and ship_modes were filled with "Unknown" per business rules. Missing discounts treated as 0 only when quantity and unit_price are present.</t>
  </si>
  <si>
    <t>Duplicate Records Summary</t>
  </si>
  <si>
    <t>Issue Type</t>
  </si>
  <si>
    <t>Count</t>
  </si>
  <si>
    <t>Exact duplicate rows found</t>
  </si>
  <si>
    <t>Removed - kept first occurrence</t>
  </si>
  <si>
    <t>Duplicate order_ids (conflicting data)</t>
  </si>
  <si>
    <t>Flagged for review (not removed)</t>
  </si>
  <si>
    <t>Total entries with duplicate order_ids</t>
  </si>
  <si>
    <t>Includes all rows sharing a duplicate order_id</t>
  </si>
  <si>
    <t>Records removed</t>
  </si>
  <si>
    <t>Only exact duplicates removed</t>
  </si>
  <si>
    <t>Records flagged for review</t>
  </si>
  <si>
    <t>Conflicting duplicates kept but flagged as "Warning"</t>
  </si>
  <si>
    <t>Duplicate Handling Logic:</t>
  </si>
  <si>
    <t>1. Identified exact duplicate rows (all columns identical)</t>
  </si>
  <si>
    <t>2. Removed exact duplicates, keeping first occurrence</t>
  </si>
  <si>
    <t>3. Found order_ids appearing multiple times with different values</t>
  </si>
  <si>
    <t>4. Flagged conflicting duplicates with data_quality_flag = "Warning"</t>
  </si>
  <si>
    <t>5. Did NOT silently delete conflicting records</t>
  </si>
  <si>
    <t>Action Note: Final dataset has 912 rows (932 original - 20 exact duplicates removed).</t>
  </si>
  <si>
    <t>Invalid Discount Summary</t>
  </si>
  <si>
    <t>Example Values</t>
  </si>
  <si>
    <t>Negative discounts</t>
  </si>
  <si>
    <t>-0.1, -0.05, -0.2</t>
  </si>
  <si>
    <t>Flagged as Invalid; cleaned_discount set to 0</t>
  </si>
  <si>
    <t>Percentage-format strings (e.g. "70%")</t>
  </si>
  <si>
    <t>70%, 85%, 50%</t>
  </si>
  <si>
    <t>Converted to decimal (0.70, 0.85, 0.50)</t>
  </si>
  <si>
    <t>Discounts above 0.5 (&gt;50%)</t>
  </si>
  <si>
    <t>0.7, 0.85, 0.6</t>
  </si>
  <si>
    <t>Flagged as Invalid; values kept but flagged</t>
  </si>
  <si>
    <t>Missing discounts</t>
  </si>
  <si>
    <t>blank/NaN</t>
  </si>
  <si>
    <t>Treated as 0 if other sales fields are valid</t>
  </si>
  <si>
    <t>Valid discounts (0 to 0.5)</t>
  </si>
  <si>
    <t>0.05, 0.1, 0.2, 0.3</t>
  </si>
  <si>
    <t>No action needed</t>
  </si>
  <si>
    <t>Business Rule: Valid discount range is 0 to 0.5 (0% to 50%). Anything outside this range is flagged.</t>
  </si>
  <si>
    <t>Action Note: Percentage strings were converted to decimals before validation. Negative discounts were set to 0 in cleaned_discount column.</t>
  </si>
  <si>
    <t>Date Issues Summary</t>
  </si>
  <si>
    <t>Example</t>
  </si>
  <si>
    <t>Mixed date formats found</t>
  </si>
  <si>
    <t>DD Mon YYYY, MM/DD/YYYY, DD-MM-YYYY, YYYY-MM-DD</t>
  </si>
  <si>
    <t>All standardized to YYYY-MM-DD format</t>
  </si>
  <si>
    <t>Missing order_date</t>
  </si>
  <si>
    <t>Blank cells</t>
  </si>
  <si>
    <t>Flagged as Invalid record</t>
  </si>
  <si>
    <t>Missing ship_date</t>
  </si>
  <si>
    <t>shipping_delay_days left blank; flagged</t>
  </si>
  <si>
    <t>Ship date earlier than order date</t>
  </si>
  <si>
    <t>order: 2023-03-15, ship: 2023-03-10</t>
  </si>
  <si>
    <t>Flagged as invalid shipping record</t>
  </si>
  <si>
    <t>Text values not recognized as dates</t>
  </si>
  <si>
    <t>Non-parseable strings</t>
  </si>
  <si>
    <t>Format Standardization:</t>
  </si>
  <si>
    <t>Input formats detected:</t>
  </si>
  <si>
    <t>Output format:</t>
  </si>
  <si>
    <t>YYYY-MM-DD (ISO standard)</t>
  </si>
  <si>
    <t xml:space="preserve">  - DD Mon YYYY (e.g., 15 Jan 2023)</t>
  </si>
  <si>
    <t xml:space="preserve">  - MM/DD/YYYY (e.g., 01/15/2023)</t>
  </si>
  <si>
    <t xml:space="preserve">  - DD-MM-YYYY (e.g., 15-01-2023)</t>
  </si>
  <si>
    <t xml:space="preserve">  - YYYY-MM-DD (already correct)</t>
  </si>
  <si>
    <t>Action Note: shipping_delay_days = ship_date - order_date (in days). Negative delays indicate ship-before-order errors.</t>
  </si>
  <si>
    <t>Order Status Issues Summary</t>
  </si>
  <si>
    <t>Order Status</t>
  </si>
  <si>
    <t>% of Total</t>
  </si>
  <si>
    <t>Business Rule Applied</t>
  </si>
  <si>
    <t>Completed</t>
  </si>
  <si>
    <t>77.9%</t>
  </si>
  <si>
    <t>Included in final completed sales summary</t>
  </si>
  <si>
    <t>Cancelled</t>
  </si>
  <si>
    <t>8.6%</t>
  </si>
  <si>
    <t>Excluded from completed sales; summarized separately</t>
  </si>
  <si>
    <t>Returned/Refunded</t>
  </si>
  <si>
    <t>6.8%</t>
  </si>
  <si>
    <t>Failed (payment)</t>
  </si>
  <si>
    <t>3.7%</t>
  </si>
  <si>
    <t>Pending/Processing</t>
  </si>
  <si>
    <t>3.1%</t>
  </si>
  <si>
    <t>Included but flagged as "Warning"</t>
  </si>
  <si>
    <t>100%</t>
  </si>
  <si>
    <t>Payment Status Breakdown:</t>
  </si>
  <si>
    <t>Paid/Completed</t>
  </si>
  <si>
    <t>86.1%</t>
  </si>
  <si>
    <t>Normal processing</t>
  </si>
  <si>
    <t>Failed</t>
  </si>
  <si>
    <t>Excluded from sales totals</t>
  </si>
  <si>
    <t>Pending</t>
  </si>
  <si>
    <t>5.7%</t>
  </si>
  <si>
    <t>Flagged as Warning</t>
  </si>
  <si>
    <t>Refunded</t>
  </si>
  <si>
    <t>4.5%</t>
  </si>
  <si>
    <t>Summarized separately</t>
  </si>
  <si>
    <t>Action Note: Cancelled + Failed orders do not contribute to final completed sales. Refunded orders are separately summarized in pivot_summary.xlsx.</t>
  </si>
  <si>
    <t>Sales/Profit Calculation Mismatch Summary</t>
  </si>
  <si>
    <t>Check Performed</t>
  </si>
  <si>
    <t>Mismatches Found</t>
  </si>
  <si>
    <t>Tolerance Used</t>
  </si>
  <si>
    <t>Sales vs calculated_sales</t>
  </si>
  <si>
    <t>+-0.01 (rounding)</t>
  </si>
  <si>
    <t>calculated_sales = qty * unit_price * (1 - discount)</t>
  </si>
  <si>
    <t>Profit vs calculated_profit</t>
  </si>
  <si>
    <t>calculated_profit = calculated_sales - cost</t>
  </si>
  <si>
    <t>Profit margin out of range (&gt;1 or &lt;-1)</t>
  </si>
  <si>
    <t>Not applicable</t>
  </si>
  <si>
    <t>Likely due to incorrect cost or price data</t>
  </si>
  <si>
    <t>Sales = 0 but quantity &gt; 0</t>
  </si>
  <si>
    <t>Possible data entry error; flagged</t>
  </si>
  <si>
    <t>Negative sales values</t>
  </si>
  <si>
    <t>Validation Formulas Used:</t>
  </si>
  <si>
    <t>calculated_sales</t>
  </si>
  <si>
    <t>= quantity * unit_price * (1 - cleaned_discount)</t>
  </si>
  <si>
    <t>calculated_profit</t>
  </si>
  <si>
    <t>= calculated_sales - cost</t>
  </si>
  <si>
    <t>profit_margin</t>
  </si>
  <si>
    <t>= calculated_profit / calculated_sales</t>
  </si>
  <si>
    <t>Mismatch check</t>
  </si>
  <si>
    <t>Action Note: Where mismatches exist, calculated_sales is used as the correct value. Original sales column retained for reference.</t>
  </si>
  <si>
    <t>Final Data Quality Summary</t>
  </si>
  <si>
    <t>Dataset Overview</t>
  </si>
  <si>
    <t>Metric</t>
  </si>
  <si>
    <t>Value</t>
  </si>
  <si>
    <t>Description</t>
  </si>
  <si>
    <t>Original row count</t>
  </si>
  <si>
    <t>Rows in raw_orders.xlsx</t>
  </si>
  <si>
    <t>Exact duplicates removed</t>
  </si>
  <si>
    <t>Identical rows removed</t>
  </si>
  <si>
    <t>Final row count</t>
  </si>
  <si>
    <t>Rows in cleaned_orders.xlsx</t>
  </si>
  <si>
    <t>Total columns (original)</t>
  </si>
  <si>
    <t>Columns in raw data</t>
  </si>
  <si>
    <t>Total columns (cleaned)</t>
  </si>
  <si>
    <t>Original + 8 calculated columns</t>
  </si>
  <si>
    <t>Data Quality Flag Breakdown</t>
  </si>
  <si>
    <t>Flag</t>
  </si>
  <si>
    <t>Record Count</t>
  </si>
  <si>
    <t>Criteria</t>
  </si>
  <si>
    <t>Clean</t>
  </si>
  <si>
    <t>69.9%</t>
  </si>
  <si>
    <t>No issues found - ready for analysis</t>
  </si>
  <si>
    <t>Warning</t>
  </si>
  <si>
    <t>26.1%</t>
  </si>
  <si>
    <t>Minor issues (missing region/ship_mode, conflicting duplicates, pending orders)</t>
  </si>
  <si>
    <t>Invalid</t>
  </si>
  <si>
    <t>3.9%</t>
  </si>
  <si>
    <t>Critical issues (negative discount, ship before order, missing dates, failed payments)</t>
  </si>
  <si>
    <t>All Issues Found (Summary)</t>
  </si>
  <si>
    <t>Issue Category</t>
  </si>
  <si>
    <t>Sheet Reference</t>
  </si>
  <si>
    <t>Missing values (total)</t>
  </si>
  <si>
    <t>Missing_Values sheet</t>
  </si>
  <si>
    <t>Exact duplicate rows</t>
  </si>
  <si>
    <t>Duplicates sheet</t>
  </si>
  <si>
    <t>Conflicting duplicate order_ids</t>
  </si>
  <si>
    <t>Invalid discounts (negative + high)</t>
  </si>
  <si>
    <t>Invalid_Discounts sheet</t>
  </si>
  <si>
    <t>Percentage-format discounts (converted)</t>
  </si>
  <si>
    <t>Date format issues (standardized)</t>
  </si>
  <si>
    <t>Date_Issues sheet (format types)</t>
  </si>
  <si>
    <t>Ship date before order date</t>
  </si>
  <si>
    <t>Date_Issues sheet</t>
  </si>
  <si>
    <t>Missing dates</t>
  </si>
  <si>
    <t>Cancelled/Failed/Refunded orders</t>
  </si>
  <si>
    <t>Order_Status_Issues sheet</t>
  </si>
  <si>
    <t>Sales calculation mismatches</t>
  </si>
  <si>
    <t>Calculation_Mismatch sheet</t>
  </si>
  <si>
    <t>Action Note: This report documents all data quality issues found during the cleaning process. See cleaning_log.md for detailed explanations of each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</si>
</sst>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5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666A39-12F6-405C-A91C-71A5F8518949}">
  <we:reference id="cc60e3e5-41cc-4675-9c49-ad04959b3f7a" version="1.0.1.6" store="EXCatalog" storeType="EXCatalog"/>
  <we:alternateReferences/>
  <we:properties>
    <we:property name="Office.AutoShowTaskpaneWithDocument" value="true"/>
    <we:property name="conversationId" value="&quot;948b5764-e044-4d49-89bd-69125574a56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23" sqref="B23"/>
    </sheetView>
  </sheetViews>
  <sheetFormatPr defaultRowHeight="14.4" x14ac:dyDescent="0.3"/>
  <cols>
    <col min="1" max="1" width="22.69921875" customWidth="1"/>
    <col min="2" max="2" width="18.69921875" customWidth="1"/>
    <col min="3" max="3" width="35.69921875" customWidth="1"/>
    <col min="4" max="4" width="47.3984375" customWidth="1"/>
  </cols>
  <sheetData>
    <row r="1" spans="1:6" ht="17.850000000000001" x14ac:dyDescent="0.35">
      <c r="A1" s="1" t="s">
        <v>0</v>
      </c>
      <c r="B1" s="1" t="s">
        <v>1</v>
      </c>
      <c r="C1" s="1" t="s">
        <v>1</v>
      </c>
      <c r="D1" s="1" t="s">
        <v>1</v>
      </c>
    </row>
    <row r="3" spans="1:6" x14ac:dyDescent="0.3">
      <c r="A3" s="2" t="s">
        <v>2</v>
      </c>
      <c r="B3" s="2" t="s">
        <v>3</v>
      </c>
      <c r="C3" s="2" t="s">
        <v>4</v>
      </c>
      <c r="D3" s="2" t="s">
        <v>5</v>
      </c>
    </row>
    <row r="4" spans="1:6" x14ac:dyDescent="0.3">
      <c r="A4" s="9" t="s">
        <v>6</v>
      </c>
      <c r="B4" s="4">
        <v>26</v>
      </c>
      <c r="C4" s="9" t="s">
        <v>7</v>
      </c>
      <c r="D4" s="9" t="s">
        <v>8</v>
      </c>
    </row>
    <row r="5" spans="1:6" x14ac:dyDescent="0.3">
      <c r="A5" s="9" t="s">
        <v>9</v>
      </c>
      <c r="B5" s="4">
        <v>22</v>
      </c>
      <c r="C5" s="9" t="s">
        <v>7</v>
      </c>
      <c r="D5" s="9" t="s">
        <v>8</v>
      </c>
    </row>
    <row r="6" spans="1:6" x14ac:dyDescent="0.3">
      <c r="A6" s="9" t="s">
        <v>10</v>
      </c>
      <c r="B6" s="4">
        <v>18</v>
      </c>
      <c r="C6" s="9" t="s">
        <v>11</v>
      </c>
      <c r="D6" s="9" t="s">
        <v>12</v>
      </c>
    </row>
    <row r="7" spans="1:6" x14ac:dyDescent="0.3">
      <c r="A7" s="9" t="s">
        <v>13</v>
      </c>
      <c r="B7" s="4">
        <v>5</v>
      </c>
      <c r="C7" s="9" t="s">
        <v>14</v>
      </c>
      <c r="D7" s="9" t="s">
        <v>15</v>
      </c>
    </row>
    <row r="8" spans="1:6" x14ac:dyDescent="0.3">
      <c r="A8" s="9" t="s">
        <v>16</v>
      </c>
      <c r="B8" s="4">
        <v>8</v>
      </c>
      <c r="C8" s="9" t="s">
        <v>14</v>
      </c>
      <c r="D8" s="9" t="s">
        <v>17</v>
      </c>
    </row>
    <row r="9" spans="1:6" x14ac:dyDescent="0.3">
      <c r="A9" s="9" t="s">
        <v>18</v>
      </c>
      <c r="B9" s="4">
        <v>3</v>
      </c>
      <c r="C9" s="9" t="s">
        <v>19</v>
      </c>
      <c r="D9" s="9" t="s">
        <v>20</v>
      </c>
    </row>
    <row r="10" spans="1:6" x14ac:dyDescent="0.3">
      <c r="A10" s="9" t="s">
        <v>21</v>
      </c>
      <c r="B10" s="4">
        <v>4</v>
      </c>
      <c r="C10" s="9" t="s">
        <v>7</v>
      </c>
      <c r="D10" s="9" t="s">
        <v>22</v>
      </c>
    </row>
    <row r="11" spans="1:6" x14ac:dyDescent="0.3">
      <c r="A11" s="10" t="s">
        <v>23</v>
      </c>
      <c r="B11" s="10">
        <f>SUM(B4:B10)</f>
        <v>86</v>
      </c>
      <c r="C11" s="10" t="s">
        <v>1</v>
      </c>
      <c r="D11" s="10" t="s">
        <v>1</v>
      </c>
    </row>
    <row r="13" spans="1:6" x14ac:dyDescent="0.3">
      <c r="A13" s="13" t="s">
        <v>24</v>
      </c>
      <c r="B13" s="13"/>
      <c r="C13" s="13"/>
      <c r="D13" s="13"/>
      <c r="E13" s="13"/>
      <c r="F13" s="13"/>
    </row>
  </sheetData>
  <mergeCells count="1"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0" sqref="B20"/>
    </sheetView>
  </sheetViews>
  <sheetFormatPr defaultRowHeight="14.4" x14ac:dyDescent="0.3"/>
  <cols>
    <col min="1" max="1" width="35.69921875" customWidth="1"/>
    <col min="2" max="2" width="18.69921875" customWidth="1"/>
    <col min="3" max="3" width="45.69921875" customWidth="1"/>
  </cols>
  <sheetData>
    <row r="1" spans="1:3" ht="17.850000000000001" x14ac:dyDescent="0.35">
      <c r="A1" s="1" t="s">
        <v>25</v>
      </c>
      <c r="B1" s="1" t="s">
        <v>1</v>
      </c>
      <c r="C1" s="1" t="s">
        <v>1</v>
      </c>
    </row>
    <row r="3" spans="1:3" x14ac:dyDescent="0.3">
      <c r="A3" s="2" t="s">
        <v>26</v>
      </c>
      <c r="B3" s="2" t="s">
        <v>27</v>
      </c>
      <c r="C3" s="2" t="s">
        <v>4</v>
      </c>
    </row>
    <row r="4" spans="1:3" x14ac:dyDescent="0.3">
      <c r="A4" s="3" t="s">
        <v>28</v>
      </c>
      <c r="B4" s="4">
        <v>20</v>
      </c>
      <c r="C4" s="3" t="s">
        <v>29</v>
      </c>
    </row>
    <row r="5" spans="1:3" x14ac:dyDescent="0.3">
      <c r="A5" s="3" t="s">
        <v>30</v>
      </c>
      <c r="B5" s="4">
        <v>12</v>
      </c>
      <c r="C5" s="3" t="s">
        <v>31</v>
      </c>
    </row>
    <row r="6" spans="1:3" x14ac:dyDescent="0.3">
      <c r="A6" s="3" t="s">
        <v>32</v>
      </c>
      <c r="B6" s="4">
        <v>63</v>
      </c>
      <c r="C6" s="3" t="s">
        <v>33</v>
      </c>
    </row>
    <row r="7" spans="1:3" x14ac:dyDescent="0.3">
      <c r="A7" s="3" t="s">
        <v>34</v>
      </c>
      <c r="B7" s="4">
        <v>20</v>
      </c>
      <c r="C7" s="3" t="s">
        <v>35</v>
      </c>
    </row>
    <row r="8" spans="1:3" x14ac:dyDescent="0.3">
      <c r="A8" s="3" t="s">
        <v>36</v>
      </c>
      <c r="B8" s="4">
        <v>31</v>
      </c>
      <c r="C8" s="3" t="s">
        <v>37</v>
      </c>
    </row>
    <row r="10" spans="1:3" x14ac:dyDescent="0.3">
      <c r="A10" s="7" t="s">
        <v>38</v>
      </c>
      <c r="B10" s="7" t="s">
        <v>1</v>
      </c>
      <c r="C10" s="7" t="s">
        <v>1</v>
      </c>
    </row>
    <row r="11" spans="1:3" x14ac:dyDescent="0.3">
      <c r="A11" s="14" t="s">
        <v>39</v>
      </c>
      <c r="B11" s="14"/>
      <c r="C11" s="14"/>
    </row>
    <row r="12" spans="1:3" x14ac:dyDescent="0.3">
      <c r="A12" s="15" t="s">
        <v>40</v>
      </c>
      <c r="B12" s="15"/>
      <c r="C12" s="15"/>
    </row>
    <row r="13" spans="1:3" x14ac:dyDescent="0.3">
      <c r="A13" s="15" t="s">
        <v>41</v>
      </c>
      <c r="B13" s="15"/>
      <c r="C13" s="15"/>
    </row>
    <row r="14" spans="1:3" x14ac:dyDescent="0.3">
      <c r="A14" s="15" t="s">
        <v>42</v>
      </c>
      <c r="B14" s="15"/>
      <c r="C14" s="15"/>
    </row>
    <row r="15" spans="1:3" x14ac:dyDescent="0.3">
      <c r="A15" s="15" t="s">
        <v>43</v>
      </c>
      <c r="B15" s="15"/>
      <c r="C15" s="15"/>
    </row>
    <row r="16" spans="1:3" x14ac:dyDescent="0.3">
      <c r="A16" s="15" t="s">
        <v>44</v>
      </c>
      <c r="B16" s="15"/>
      <c r="C16" s="15"/>
    </row>
  </sheetData>
  <mergeCells count="6">
    <mergeCell ref="A16:C16"/>
    <mergeCell ref="A11:C11"/>
    <mergeCell ref="A12:C12"/>
    <mergeCell ref="A13:C13"/>
    <mergeCell ref="A14:C14"/>
    <mergeCell ref="A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21" sqref="B21"/>
    </sheetView>
  </sheetViews>
  <sheetFormatPr defaultRowHeight="14.4" x14ac:dyDescent="0.3"/>
  <cols>
    <col min="1" max="1" width="35.69921875" customWidth="1"/>
    <col min="2" max="2" width="15.69921875" customWidth="1"/>
    <col min="3" max="3" width="25.69921875" customWidth="1"/>
    <col min="4" max="4" width="45.69921875" customWidth="1"/>
  </cols>
  <sheetData>
    <row r="1" spans="1:4" ht="17.850000000000001" x14ac:dyDescent="0.35">
      <c r="A1" s="1" t="s">
        <v>45</v>
      </c>
      <c r="B1" s="1" t="s">
        <v>1</v>
      </c>
      <c r="C1" s="1" t="s">
        <v>1</v>
      </c>
      <c r="D1" s="1" t="s">
        <v>1</v>
      </c>
    </row>
    <row r="3" spans="1:4" x14ac:dyDescent="0.3">
      <c r="A3" s="2" t="s">
        <v>26</v>
      </c>
      <c r="B3" s="2" t="s">
        <v>27</v>
      </c>
      <c r="C3" s="2" t="s">
        <v>46</v>
      </c>
      <c r="D3" s="2" t="s">
        <v>4</v>
      </c>
    </row>
    <row r="4" spans="1:4" x14ac:dyDescent="0.3">
      <c r="A4" s="3" t="s">
        <v>47</v>
      </c>
      <c r="B4" s="4">
        <v>16</v>
      </c>
      <c r="C4" s="3" t="s">
        <v>48</v>
      </c>
      <c r="D4" s="3" t="s">
        <v>49</v>
      </c>
    </row>
    <row r="5" spans="1:4" x14ac:dyDescent="0.3">
      <c r="A5" s="3" t="s">
        <v>50</v>
      </c>
      <c r="B5" s="4">
        <v>8</v>
      </c>
      <c r="C5" s="3" t="s">
        <v>51</v>
      </c>
      <c r="D5" s="3" t="s">
        <v>52</v>
      </c>
    </row>
    <row r="6" spans="1:4" x14ac:dyDescent="0.3">
      <c r="A6" s="3" t="s">
        <v>53</v>
      </c>
      <c r="B6" s="4">
        <v>7</v>
      </c>
      <c r="C6" s="3" t="s">
        <v>54</v>
      </c>
      <c r="D6" s="3" t="s">
        <v>55</v>
      </c>
    </row>
    <row r="7" spans="1:4" x14ac:dyDescent="0.3">
      <c r="A7" s="3" t="s">
        <v>56</v>
      </c>
      <c r="B7" s="4">
        <v>18</v>
      </c>
      <c r="C7" s="3" t="s">
        <v>57</v>
      </c>
      <c r="D7" s="3" t="s">
        <v>58</v>
      </c>
    </row>
    <row r="8" spans="1:4" x14ac:dyDescent="0.3">
      <c r="A8" s="3" t="s">
        <v>59</v>
      </c>
      <c r="B8" s="4">
        <v>863</v>
      </c>
      <c r="C8" s="3" t="s">
        <v>60</v>
      </c>
      <c r="D8" s="3" t="s">
        <v>61</v>
      </c>
    </row>
    <row r="10" spans="1:4" x14ac:dyDescent="0.3">
      <c r="A10" s="16" t="s">
        <v>62</v>
      </c>
      <c r="B10" s="16"/>
      <c r="C10" s="16"/>
      <c r="D10" s="16"/>
    </row>
    <row r="11" spans="1:4" x14ac:dyDescent="0.3">
      <c r="A11" s="17" t="s">
        <v>63</v>
      </c>
      <c r="B11" s="17"/>
      <c r="C11" s="17"/>
      <c r="D11" s="17"/>
    </row>
  </sheetData>
  <mergeCells count="2">
    <mergeCell ref="A10:D10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C24" sqref="C24"/>
    </sheetView>
  </sheetViews>
  <sheetFormatPr defaultRowHeight="14.4" x14ac:dyDescent="0.3"/>
  <cols>
    <col min="1" max="1" width="35.69921875" customWidth="1"/>
    <col min="2" max="2" width="15.69921875" customWidth="1"/>
    <col min="3" max="3" width="30.69921875" customWidth="1"/>
    <col min="4" max="4" width="45.69921875" customWidth="1"/>
  </cols>
  <sheetData>
    <row r="1" spans="1:4" ht="17.850000000000001" x14ac:dyDescent="0.35">
      <c r="A1" s="1" t="s">
        <v>64</v>
      </c>
      <c r="B1" s="1" t="s">
        <v>1</v>
      </c>
      <c r="C1" s="1" t="s">
        <v>1</v>
      </c>
      <c r="D1" s="1" t="s">
        <v>1</v>
      </c>
    </row>
    <row r="3" spans="1:4" x14ac:dyDescent="0.3">
      <c r="A3" s="2" t="s">
        <v>26</v>
      </c>
      <c r="B3" s="2" t="s">
        <v>27</v>
      </c>
      <c r="C3" s="2" t="s">
        <v>65</v>
      </c>
      <c r="D3" s="2" t="s">
        <v>4</v>
      </c>
    </row>
    <row r="4" spans="1:4" ht="28.8" x14ac:dyDescent="0.3">
      <c r="A4" s="3" t="s">
        <v>66</v>
      </c>
      <c r="B4" s="4">
        <v>4</v>
      </c>
      <c r="C4" s="3" t="s">
        <v>67</v>
      </c>
      <c r="D4" s="3" t="s">
        <v>68</v>
      </c>
    </row>
    <row r="5" spans="1:4" x14ac:dyDescent="0.3">
      <c r="A5" s="3" t="s">
        <v>69</v>
      </c>
      <c r="B5" s="4">
        <v>5</v>
      </c>
      <c r="C5" s="3" t="s">
        <v>70</v>
      </c>
      <c r="D5" s="3" t="s">
        <v>71</v>
      </c>
    </row>
    <row r="6" spans="1:4" x14ac:dyDescent="0.3">
      <c r="A6" s="3" t="s">
        <v>72</v>
      </c>
      <c r="B6" s="4">
        <v>8</v>
      </c>
      <c r="C6" s="3" t="s">
        <v>70</v>
      </c>
      <c r="D6" s="3" t="s">
        <v>73</v>
      </c>
    </row>
    <row r="7" spans="1:4" x14ac:dyDescent="0.3">
      <c r="A7" s="3" t="s">
        <v>74</v>
      </c>
      <c r="B7" s="4">
        <v>11</v>
      </c>
      <c r="C7" s="3" t="s">
        <v>75</v>
      </c>
      <c r="D7" s="3" t="s">
        <v>76</v>
      </c>
    </row>
    <row r="8" spans="1:4" x14ac:dyDescent="0.3">
      <c r="A8" s="3" t="s">
        <v>77</v>
      </c>
      <c r="B8" s="4">
        <v>3</v>
      </c>
      <c r="C8" s="3" t="s">
        <v>78</v>
      </c>
      <c r="D8" s="3" t="s">
        <v>71</v>
      </c>
    </row>
    <row r="10" spans="1:4" x14ac:dyDescent="0.3">
      <c r="A10" s="7" t="s">
        <v>79</v>
      </c>
      <c r="B10" s="7" t="s">
        <v>1</v>
      </c>
      <c r="C10" s="7" t="s">
        <v>1</v>
      </c>
      <c r="D10" s="7" t="s">
        <v>1</v>
      </c>
    </row>
    <row r="11" spans="1:4" x14ac:dyDescent="0.3">
      <c r="A11" s="11" t="s">
        <v>80</v>
      </c>
      <c r="B11" s="11" t="s">
        <v>1</v>
      </c>
      <c r="C11" s="11" t="s">
        <v>81</v>
      </c>
      <c r="D11" s="11" t="s">
        <v>82</v>
      </c>
    </row>
    <row r="12" spans="1:4" x14ac:dyDescent="0.3">
      <c r="A12" s="11" t="s">
        <v>83</v>
      </c>
      <c r="B12" s="11" t="s">
        <v>1</v>
      </c>
      <c r="C12" s="11" t="s">
        <v>1</v>
      </c>
      <c r="D12" s="11" t="s">
        <v>1</v>
      </c>
    </row>
    <row r="13" spans="1:4" x14ac:dyDescent="0.3">
      <c r="A13" s="11" t="s">
        <v>84</v>
      </c>
      <c r="B13" s="11" t="s">
        <v>1</v>
      </c>
      <c r="C13" s="11" t="s">
        <v>1</v>
      </c>
      <c r="D13" s="11" t="s">
        <v>1</v>
      </c>
    </row>
    <row r="14" spans="1:4" x14ac:dyDescent="0.3">
      <c r="A14" s="11" t="s">
        <v>85</v>
      </c>
      <c r="B14" s="11" t="s">
        <v>1</v>
      </c>
      <c r="C14" s="11" t="s">
        <v>1</v>
      </c>
      <c r="D14" s="11" t="s">
        <v>1</v>
      </c>
    </row>
    <row r="15" spans="1:4" x14ac:dyDescent="0.3">
      <c r="A15" s="11" t="s">
        <v>86</v>
      </c>
      <c r="B15" s="11" t="s">
        <v>1</v>
      </c>
      <c r="C15" s="11" t="s">
        <v>1</v>
      </c>
      <c r="D15" s="11" t="s">
        <v>1</v>
      </c>
    </row>
    <row r="16" spans="1:4" x14ac:dyDescent="0.3">
      <c r="A16" s="11"/>
      <c r="B16" s="11"/>
      <c r="C16" s="11"/>
      <c r="D16" s="11"/>
    </row>
    <row r="17" spans="1:4" x14ac:dyDescent="0.3">
      <c r="A17" s="11" t="s">
        <v>87</v>
      </c>
      <c r="B17" s="11" t="s">
        <v>1</v>
      </c>
      <c r="C17" s="11" t="s">
        <v>1</v>
      </c>
      <c r="D17" s="1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D26" sqref="D26"/>
    </sheetView>
  </sheetViews>
  <sheetFormatPr defaultRowHeight="14.4" x14ac:dyDescent="0.3"/>
  <cols>
    <col min="1" max="1" width="28.69921875" customWidth="1"/>
    <col min="2" max="2" width="15.69921875" customWidth="1"/>
    <col min="3" max="3" width="20.69921875" customWidth="1"/>
    <col min="4" max="4" width="50.69921875" customWidth="1"/>
  </cols>
  <sheetData>
    <row r="1" spans="1:4" ht="17.850000000000001" x14ac:dyDescent="0.35">
      <c r="A1" s="1" t="s">
        <v>88</v>
      </c>
      <c r="B1" s="1" t="s">
        <v>1</v>
      </c>
      <c r="C1" s="1" t="s">
        <v>1</v>
      </c>
      <c r="D1" s="1" t="s">
        <v>1</v>
      </c>
    </row>
    <row r="3" spans="1:4" x14ac:dyDescent="0.3">
      <c r="A3" s="2" t="s">
        <v>89</v>
      </c>
      <c r="B3" s="2" t="s">
        <v>27</v>
      </c>
      <c r="C3" s="2" t="s">
        <v>90</v>
      </c>
      <c r="D3" s="2" t="s">
        <v>91</v>
      </c>
    </row>
    <row r="4" spans="1:4" x14ac:dyDescent="0.3">
      <c r="A4" s="3" t="s">
        <v>92</v>
      </c>
      <c r="B4" s="4">
        <v>710</v>
      </c>
      <c r="C4" s="4" t="s">
        <v>93</v>
      </c>
      <c r="D4" s="3" t="s">
        <v>94</v>
      </c>
    </row>
    <row r="5" spans="1:4" x14ac:dyDescent="0.3">
      <c r="A5" s="3" t="s">
        <v>95</v>
      </c>
      <c r="B5" s="4">
        <v>78</v>
      </c>
      <c r="C5" s="4" t="s">
        <v>96</v>
      </c>
      <c r="D5" s="3" t="s">
        <v>97</v>
      </c>
    </row>
    <row r="6" spans="1:4" x14ac:dyDescent="0.3">
      <c r="A6" s="3" t="s">
        <v>98</v>
      </c>
      <c r="B6" s="4">
        <v>62</v>
      </c>
      <c r="C6" s="4" t="s">
        <v>99</v>
      </c>
      <c r="D6" s="3" t="s">
        <v>97</v>
      </c>
    </row>
    <row r="7" spans="1:4" x14ac:dyDescent="0.3">
      <c r="A7" s="3" t="s">
        <v>100</v>
      </c>
      <c r="B7" s="4">
        <v>34</v>
      </c>
      <c r="C7" s="4" t="s">
        <v>101</v>
      </c>
      <c r="D7" s="3" t="s">
        <v>22</v>
      </c>
    </row>
    <row r="8" spans="1:4" x14ac:dyDescent="0.3">
      <c r="A8" s="3" t="s">
        <v>102</v>
      </c>
      <c r="B8" s="4">
        <v>28</v>
      </c>
      <c r="C8" s="4" t="s">
        <v>103</v>
      </c>
      <c r="D8" s="3" t="s">
        <v>104</v>
      </c>
    </row>
    <row r="9" spans="1:4" x14ac:dyDescent="0.3">
      <c r="A9" s="5" t="s">
        <v>23</v>
      </c>
      <c r="B9" s="5">
        <v>912</v>
      </c>
      <c r="C9" s="5" t="s">
        <v>105</v>
      </c>
      <c r="D9" s="5" t="s">
        <v>1</v>
      </c>
    </row>
    <row r="11" spans="1:4" x14ac:dyDescent="0.3">
      <c r="A11" s="7" t="s">
        <v>106</v>
      </c>
      <c r="B11" s="7" t="s">
        <v>1</v>
      </c>
      <c r="C11" s="7" t="s">
        <v>1</v>
      </c>
      <c r="D11" s="7" t="s">
        <v>1</v>
      </c>
    </row>
    <row r="12" spans="1:4" x14ac:dyDescent="0.3">
      <c r="A12" s="3" t="s">
        <v>107</v>
      </c>
      <c r="B12" s="4">
        <v>785</v>
      </c>
      <c r="C12" s="4" t="s">
        <v>108</v>
      </c>
      <c r="D12" s="3" t="s">
        <v>109</v>
      </c>
    </row>
    <row r="13" spans="1:4" x14ac:dyDescent="0.3">
      <c r="A13" s="3" t="s">
        <v>110</v>
      </c>
      <c r="B13" s="4">
        <v>34</v>
      </c>
      <c r="C13" s="4" t="s">
        <v>101</v>
      </c>
      <c r="D13" s="3" t="s">
        <v>111</v>
      </c>
    </row>
    <row r="14" spans="1:4" x14ac:dyDescent="0.3">
      <c r="A14" s="3" t="s">
        <v>112</v>
      </c>
      <c r="B14" s="4">
        <v>52</v>
      </c>
      <c r="C14" s="4" t="s">
        <v>113</v>
      </c>
      <c r="D14" s="3" t="s">
        <v>114</v>
      </c>
    </row>
    <row r="15" spans="1:4" x14ac:dyDescent="0.3">
      <c r="A15" s="3" t="s">
        <v>115</v>
      </c>
      <c r="B15" s="4">
        <v>41</v>
      </c>
      <c r="C15" s="4" t="s">
        <v>116</v>
      </c>
      <c r="D15" s="3" t="s">
        <v>117</v>
      </c>
    </row>
    <row r="17" spans="1:8" x14ac:dyDescent="0.3">
      <c r="A17" s="16" t="s">
        <v>118</v>
      </c>
      <c r="B17" s="16"/>
      <c r="C17" s="16"/>
      <c r="D17" s="16"/>
      <c r="E17" s="16"/>
      <c r="F17" s="16"/>
      <c r="G17" s="16"/>
      <c r="H17" s="16"/>
    </row>
  </sheetData>
  <mergeCells count="1">
    <mergeCell ref="A17:H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>
      <selection activeCell="C20" sqref="C20"/>
    </sheetView>
  </sheetViews>
  <sheetFormatPr defaultRowHeight="14.4" x14ac:dyDescent="0.3"/>
  <cols>
    <col min="1" max="1" width="47.3984375" customWidth="1"/>
    <col min="2" max="2" width="15.69921875" customWidth="1"/>
    <col min="3" max="3" width="45.09765625" customWidth="1"/>
    <col min="4" max="4" width="50.69921875" customWidth="1"/>
  </cols>
  <sheetData>
    <row r="1" spans="1:4" ht="17.850000000000001" x14ac:dyDescent="0.35">
      <c r="A1" s="1" t="s">
        <v>119</v>
      </c>
      <c r="B1" s="1" t="s">
        <v>1</v>
      </c>
      <c r="C1" s="1" t="s">
        <v>1</v>
      </c>
      <c r="D1" s="1" t="s">
        <v>1</v>
      </c>
    </row>
    <row r="3" spans="1:4" ht="28.8" x14ac:dyDescent="0.3">
      <c r="A3" s="2" t="s">
        <v>120</v>
      </c>
      <c r="B3" s="2" t="s">
        <v>121</v>
      </c>
      <c r="C3" s="2" t="s">
        <v>122</v>
      </c>
      <c r="D3" s="2" t="s">
        <v>5</v>
      </c>
    </row>
    <row r="4" spans="1:4" x14ac:dyDescent="0.3">
      <c r="A4" s="3" t="s">
        <v>123</v>
      </c>
      <c r="B4" s="4">
        <v>47</v>
      </c>
      <c r="C4" s="3" t="s">
        <v>124</v>
      </c>
      <c r="D4" s="3" t="s">
        <v>125</v>
      </c>
    </row>
    <row r="5" spans="1:4" x14ac:dyDescent="0.3">
      <c r="A5" s="3" t="s">
        <v>126</v>
      </c>
      <c r="B5" s="4">
        <v>38</v>
      </c>
      <c r="C5" s="3" t="s">
        <v>124</v>
      </c>
      <c r="D5" s="3" t="s">
        <v>127</v>
      </c>
    </row>
    <row r="6" spans="1:4" x14ac:dyDescent="0.3">
      <c r="A6" s="3" t="s">
        <v>128</v>
      </c>
      <c r="B6" s="4">
        <v>5</v>
      </c>
      <c r="C6" s="3" t="s">
        <v>129</v>
      </c>
      <c r="D6" s="3" t="s">
        <v>130</v>
      </c>
    </row>
    <row r="7" spans="1:4" x14ac:dyDescent="0.3">
      <c r="A7" s="3" t="s">
        <v>131</v>
      </c>
      <c r="B7" s="4">
        <v>3</v>
      </c>
      <c r="C7" s="3" t="s">
        <v>129</v>
      </c>
      <c r="D7" s="3" t="s">
        <v>132</v>
      </c>
    </row>
    <row r="8" spans="1:4" x14ac:dyDescent="0.3">
      <c r="A8" s="3" t="s">
        <v>133</v>
      </c>
      <c r="B8" s="4">
        <v>2</v>
      </c>
      <c r="C8" s="3" t="s">
        <v>129</v>
      </c>
      <c r="D8" s="3" t="s">
        <v>71</v>
      </c>
    </row>
    <row r="10" spans="1:4" x14ac:dyDescent="0.3">
      <c r="A10" s="7" t="s">
        <v>134</v>
      </c>
      <c r="B10" s="7" t="s">
        <v>1</v>
      </c>
      <c r="C10" s="7" t="s">
        <v>1</v>
      </c>
      <c r="D10" s="7" t="s">
        <v>1</v>
      </c>
    </row>
    <row r="11" spans="1:4" x14ac:dyDescent="0.3">
      <c r="A11" s="11" t="s">
        <v>135</v>
      </c>
      <c r="B11" s="11" t="s">
        <v>1</v>
      </c>
      <c r="C11" s="11" t="s">
        <v>136</v>
      </c>
      <c r="D11" s="6" t="s">
        <v>1</v>
      </c>
    </row>
    <row r="12" spans="1:4" x14ac:dyDescent="0.3">
      <c r="A12" s="11" t="s">
        <v>137</v>
      </c>
      <c r="B12" s="11" t="s">
        <v>1</v>
      </c>
      <c r="C12" s="11" t="s">
        <v>138</v>
      </c>
      <c r="D12" s="6" t="s">
        <v>1</v>
      </c>
    </row>
    <row r="13" spans="1:4" x14ac:dyDescent="0.3">
      <c r="A13" s="11" t="s">
        <v>139</v>
      </c>
      <c r="B13" s="11" t="s">
        <v>1</v>
      </c>
      <c r="C13" s="11" t="s">
        <v>140</v>
      </c>
      <c r="D13" s="6" t="s">
        <v>1</v>
      </c>
    </row>
    <row r="14" spans="1:4" x14ac:dyDescent="0.3">
      <c r="A14" s="11" t="s">
        <v>141</v>
      </c>
      <c r="B14" s="11" t="s">
        <v>1</v>
      </c>
      <c r="C14" s="11" t="e">
        <f>ABS(original_sales - calculated_sales) &gt; 0.01</f>
        <v>#NAME?</v>
      </c>
      <c r="D14" s="6" t="s">
        <v>1</v>
      </c>
    </row>
    <row r="15" spans="1:4" x14ac:dyDescent="0.3">
      <c r="A15" s="11"/>
      <c r="B15" s="11"/>
      <c r="C15" s="11"/>
    </row>
    <row r="16" spans="1:4" ht="14.4" customHeight="1" x14ac:dyDescent="0.3">
      <c r="A16" s="18" t="s">
        <v>142</v>
      </c>
      <c r="B16" s="11" t="s">
        <v>1</v>
      </c>
      <c r="C16" s="11" t="s">
        <v>1</v>
      </c>
      <c r="D16" s="6" t="s">
        <v>1</v>
      </c>
    </row>
    <row r="17" spans="1:1" x14ac:dyDescent="0.3">
      <c r="A17" s="18"/>
    </row>
    <row r="18" spans="1:1" x14ac:dyDescent="0.3">
      <c r="A18" s="18"/>
    </row>
  </sheetData>
  <mergeCells count="1">
    <mergeCell ref="A16:A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tabSelected="1" topLeftCell="A10" workbookViewId="0">
      <selection activeCell="I21" sqref="I21"/>
    </sheetView>
  </sheetViews>
  <sheetFormatPr defaultRowHeight="14.4" x14ac:dyDescent="0.3"/>
  <cols>
    <col min="1" max="1" width="35.69921875" customWidth="1"/>
    <col min="2" max="3" width="18.69921875" customWidth="1"/>
    <col min="4" max="4" width="48.59765625" customWidth="1"/>
  </cols>
  <sheetData>
    <row r="1" spans="1:4" ht="17.850000000000001" x14ac:dyDescent="0.35">
      <c r="A1" s="1" t="s">
        <v>143</v>
      </c>
      <c r="B1" s="1" t="s">
        <v>1</v>
      </c>
      <c r="C1" s="1" t="s">
        <v>1</v>
      </c>
      <c r="D1" s="1" t="s">
        <v>1</v>
      </c>
    </row>
    <row r="3" spans="1:4" ht="16.149999999999999" x14ac:dyDescent="0.35">
      <c r="A3" s="8" t="s">
        <v>144</v>
      </c>
      <c r="B3" s="8" t="s">
        <v>1</v>
      </c>
      <c r="C3" s="8" t="s">
        <v>1</v>
      </c>
      <c r="D3" s="8" t="s">
        <v>1</v>
      </c>
    </row>
    <row r="4" spans="1:4" x14ac:dyDescent="0.3">
      <c r="A4" s="2" t="s">
        <v>145</v>
      </c>
      <c r="B4" s="2" t="s">
        <v>146</v>
      </c>
      <c r="C4" s="2" t="s">
        <v>1</v>
      </c>
      <c r="D4" s="2" t="s">
        <v>147</v>
      </c>
    </row>
    <row r="5" spans="1:4" x14ac:dyDescent="0.3">
      <c r="A5" s="3" t="s">
        <v>148</v>
      </c>
      <c r="B5" s="4">
        <v>932</v>
      </c>
      <c r="C5" s="3" t="s">
        <v>1</v>
      </c>
      <c r="D5" s="3" t="s">
        <v>149</v>
      </c>
    </row>
    <row r="6" spans="1:4" x14ac:dyDescent="0.3">
      <c r="A6" s="3" t="s">
        <v>150</v>
      </c>
      <c r="B6" s="4">
        <v>20</v>
      </c>
      <c r="C6" s="3" t="s">
        <v>1</v>
      </c>
      <c r="D6" s="3" t="s">
        <v>151</v>
      </c>
    </row>
    <row r="7" spans="1:4" x14ac:dyDescent="0.3">
      <c r="A7" s="3" t="s">
        <v>152</v>
      </c>
      <c r="B7" s="4">
        <v>912</v>
      </c>
      <c r="C7" s="3" t="s">
        <v>1</v>
      </c>
      <c r="D7" s="3" t="s">
        <v>153</v>
      </c>
    </row>
    <row r="8" spans="1:4" x14ac:dyDescent="0.3">
      <c r="A8" s="3" t="s">
        <v>154</v>
      </c>
      <c r="B8" s="4">
        <v>21</v>
      </c>
      <c r="C8" s="3" t="s">
        <v>1</v>
      </c>
      <c r="D8" s="3" t="s">
        <v>155</v>
      </c>
    </row>
    <row r="9" spans="1:4" x14ac:dyDescent="0.3">
      <c r="A9" s="3" t="s">
        <v>156</v>
      </c>
      <c r="B9" s="4">
        <v>29</v>
      </c>
      <c r="C9" s="3" t="s">
        <v>1</v>
      </c>
      <c r="D9" s="3" t="s">
        <v>157</v>
      </c>
    </row>
    <row r="11" spans="1:4" ht="16.149999999999999" x14ac:dyDescent="0.35">
      <c r="A11" s="8" t="s">
        <v>158</v>
      </c>
      <c r="B11" s="8" t="s">
        <v>1</v>
      </c>
      <c r="C11" s="8" t="s">
        <v>1</v>
      </c>
      <c r="D11" s="8" t="s">
        <v>1</v>
      </c>
    </row>
    <row r="12" spans="1:4" x14ac:dyDescent="0.3">
      <c r="A12" s="2" t="s">
        <v>159</v>
      </c>
      <c r="B12" s="2" t="s">
        <v>160</v>
      </c>
      <c r="C12" s="2" t="s">
        <v>90</v>
      </c>
      <c r="D12" s="2" t="s">
        <v>161</v>
      </c>
    </row>
    <row r="13" spans="1:4" x14ac:dyDescent="0.3">
      <c r="A13" s="3" t="s">
        <v>162</v>
      </c>
      <c r="B13" s="4">
        <v>638</v>
      </c>
      <c r="C13" s="4" t="s">
        <v>163</v>
      </c>
      <c r="D13" s="3" t="s">
        <v>164</v>
      </c>
    </row>
    <row r="14" spans="1:4" ht="28.8" x14ac:dyDescent="0.3">
      <c r="A14" s="3" t="s">
        <v>165</v>
      </c>
      <c r="B14" s="4">
        <v>238</v>
      </c>
      <c r="C14" s="4" t="s">
        <v>166</v>
      </c>
      <c r="D14" s="3" t="s">
        <v>167</v>
      </c>
    </row>
    <row r="15" spans="1:4" ht="28.8" x14ac:dyDescent="0.3">
      <c r="A15" s="3" t="s">
        <v>168</v>
      </c>
      <c r="B15" s="4">
        <v>36</v>
      </c>
      <c r="C15" s="4" t="s">
        <v>169</v>
      </c>
      <c r="D15" s="3" t="s">
        <v>170</v>
      </c>
    </row>
    <row r="16" spans="1:4" x14ac:dyDescent="0.3">
      <c r="A16" s="5" t="s">
        <v>23</v>
      </c>
      <c r="B16" s="5">
        <v>912</v>
      </c>
      <c r="C16" s="5" t="s">
        <v>105</v>
      </c>
      <c r="D16" s="5" t="s">
        <v>1</v>
      </c>
    </row>
    <row r="18" spans="1:4" ht="16.149999999999999" x14ac:dyDescent="0.35">
      <c r="A18" s="8" t="s">
        <v>171</v>
      </c>
      <c r="B18" s="8" t="s">
        <v>1</v>
      </c>
      <c r="C18" s="8" t="s">
        <v>1</v>
      </c>
      <c r="D18" s="8" t="s">
        <v>1</v>
      </c>
    </row>
    <row r="19" spans="1:4" x14ac:dyDescent="0.3">
      <c r="A19" s="2" t="s">
        <v>172</v>
      </c>
      <c r="B19" s="2" t="s">
        <v>27</v>
      </c>
      <c r="C19" s="2" t="s">
        <v>1</v>
      </c>
      <c r="D19" s="2" t="s">
        <v>173</v>
      </c>
    </row>
    <row r="20" spans="1:4" x14ac:dyDescent="0.3">
      <c r="A20" s="3" t="s">
        <v>174</v>
      </c>
      <c r="B20" s="4">
        <v>86</v>
      </c>
      <c r="C20" s="3" t="s">
        <v>1</v>
      </c>
      <c r="D20" s="3" t="s">
        <v>175</v>
      </c>
    </row>
    <row r="21" spans="1:4" x14ac:dyDescent="0.3">
      <c r="A21" s="3" t="s">
        <v>176</v>
      </c>
      <c r="B21" s="4">
        <v>20</v>
      </c>
      <c r="C21" s="3" t="s">
        <v>1</v>
      </c>
      <c r="D21" s="3" t="s">
        <v>177</v>
      </c>
    </row>
    <row r="22" spans="1:4" x14ac:dyDescent="0.3">
      <c r="A22" s="3" t="s">
        <v>178</v>
      </c>
      <c r="B22" s="4">
        <v>12</v>
      </c>
      <c r="C22" s="3" t="s">
        <v>1</v>
      </c>
      <c r="D22" s="3" t="s">
        <v>177</v>
      </c>
    </row>
    <row r="23" spans="1:4" x14ac:dyDescent="0.3">
      <c r="A23" s="3" t="s">
        <v>179</v>
      </c>
      <c r="B23" s="4">
        <v>23</v>
      </c>
      <c r="C23" s="3" t="s">
        <v>1</v>
      </c>
      <c r="D23" s="3" t="s">
        <v>180</v>
      </c>
    </row>
    <row r="24" spans="1:4" x14ac:dyDescent="0.3">
      <c r="A24" s="3" t="s">
        <v>181</v>
      </c>
      <c r="B24" s="4">
        <v>8</v>
      </c>
      <c r="C24" s="3" t="s">
        <v>1</v>
      </c>
      <c r="D24" s="3" t="s">
        <v>180</v>
      </c>
    </row>
    <row r="25" spans="1:4" x14ac:dyDescent="0.3">
      <c r="A25" s="3" t="s">
        <v>182</v>
      </c>
      <c r="B25" s="4">
        <v>4</v>
      </c>
      <c r="C25" s="3" t="s">
        <v>1</v>
      </c>
      <c r="D25" s="3" t="s">
        <v>183</v>
      </c>
    </row>
    <row r="26" spans="1:4" x14ac:dyDescent="0.3">
      <c r="A26" s="3" t="s">
        <v>184</v>
      </c>
      <c r="B26" s="4">
        <v>11</v>
      </c>
      <c r="C26" s="3" t="s">
        <v>1</v>
      </c>
      <c r="D26" s="3" t="s">
        <v>185</v>
      </c>
    </row>
    <row r="27" spans="1:4" x14ac:dyDescent="0.3">
      <c r="A27" s="3" t="s">
        <v>186</v>
      </c>
      <c r="B27" s="4">
        <v>13</v>
      </c>
      <c r="C27" s="3" t="s">
        <v>1</v>
      </c>
      <c r="D27" s="3" t="s">
        <v>185</v>
      </c>
    </row>
    <row r="28" spans="1:4" x14ac:dyDescent="0.3">
      <c r="A28" s="3" t="s">
        <v>187</v>
      </c>
      <c r="B28" s="4">
        <v>174</v>
      </c>
      <c r="C28" s="3" t="s">
        <v>1</v>
      </c>
      <c r="D28" s="3" t="s">
        <v>188</v>
      </c>
    </row>
    <row r="29" spans="1:4" x14ac:dyDescent="0.3">
      <c r="A29" s="3" t="s">
        <v>189</v>
      </c>
      <c r="B29" s="4">
        <v>47</v>
      </c>
      <c r="C29" s="3" t="s">
        <v>1</v>
      </c>
      <c r="D29" s="3" t="s">
        <v>190</v>
      </c>
    </row>
    <row r="31" spans="1:4" x14ac:dyDescent="0.3">
      <c r="A31" s="12" t="s">
        <v>191</v>
      </c>
      <c r="B31" s="12"/>
      <c r="C31" s="12"/>
      <c r="D31" s="12"/>
    </row>
    <row r="32" spans="1:4" ht="5.2" customHeight="1" x14ac:dyDescent="0.3">
      <c r="A32" s="12"/>
      <c r="B32" s="12"/>
      <c r="C32" s="12"/>
      <c r="D32" s="12"/>
    </row>
    <row r="33" spans="1:4" hidden="1" x14ac:dyDescent="0.3">
      <c r="A33" s="12"/>
      <c r="B33" s="12"/>
      <c r="C33" s="12"/>
      <c r="D33" s="12"/>
    </row>
  </sheetData>
  <mergeCells count="1">
    <mergeCell ref="A31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Missing_Values</vt:lpstr>
      <vt:lpstr>Duplicates</vt:lpstr>
      <vt:lpstr>Invalid_Discounts</vt:lpstr>
      <vt:lpstr>Date_Issues</vt:lpstr>
      <vt:lpstr>Order_Status_Issues</vt:lpstr>
      <vt:lpstr>Sales_profit calculation mismat</vt:lpstr>
      <vt:lpstr>Final clean vs flagged record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Vobalaboina, Priyanka</dc:creator>
  <cp:lastModifiedBy>Vobalaboina, Priyanka</cp:lastModifiedBy>
  <dcterms:created xsi:type="dcterms:W3CDTF">2026-06-24T09:19:50Z</dcterms:created>
  <dcterms:modified xsi:type="dcterms:W3CDTF">2026-06-24T09:59:08Z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2026-06-24T09:45:25Z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5a003a89-602b-4e6c-a5a9-cbcf2a4aa018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